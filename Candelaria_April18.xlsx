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ming\Desktop\"/>
    </mc:Choice>
  </mc:AlternateContent>
  <xr:revisionPtr revIDLastSave="0" documentId="8_{EC6B636D-5614-4BB0-A845-D67E72AA288A}" xr6:coauthVersionLast="47" xr6:coauthVersionMax="47" xr10:uidLastSave="{00000000-0000-0000-0000-000000000000}"/>
  <bookViews>
    <workbookView xWindow="-120" yWindow="-120" windowWidth="24240" windowHeight="13140" xr2:uid="{B877D23D-EC5B-4D99-AC42-FC70687F1B2F}"/>
  </bookViews>
  <sheets>
    <sheet name="Sheet2" sheetId="2" r:id="rId1"/>
  </sheets>
  <calcPr calcId="191029"/>
  <pivotCaches>
    <pivotCache cacheId="5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2" l="1"/>
  <c r="F17" i="2"/>
  <c r="F15" i="2"/>
  <c r="G16" i="2"/>
  <c r="G17" i="2"/>
  <c r="G18" i="2"/>
  <c r="G19" i="2"/>
  <c r="G20" i="2"/>
  <c r="G15" i="2"/>
</calcChain>
</file>

<file path=xl/sharedStrings.xml><?xml version="1.0" encoding="utf-8"?>
<sst xmlns="http://schemas.openxmlformats.org/spreadsheetml/2006/main" count="63" uniqueCount="34">
  <si>
    <t>Student</t>
  </si>
  <si>
    <t>Study Hours</t>
  </si>
  <si>
    <t>Exam Score</t>
  </si>
  <si>
    <t>Group</t>
  </si>
  <si>
    <t>S1</t>
  </si>
  <si>
    <t>Low Study</t>
  </si>
  <si>
    <t>S2</t>
  </si>
  <si>
    <t>S3</t>
  </si>
  <si>
    <t>S4</t>
  </si>
  <si>
    <t>Medium Study</t>
  </si>
  <si>
    <t>S5</t>
  </si>
  <si>
    <t>S6</t>
  </si>
  <si>
    <t>S7</t>
  </si>
  <si>
    <t>High Study</t>
  </si>
  <si>
    <t>S8</t>
  </si>
  <si>
    <t>S9</t>
  </si>
  <si>
    <t>Study Hours vs Exam Scores (University Students)</t>
  </si>
  <si>
    <t>Sum of Exam Score</t>
  </si>
  <si>
    <t>Low</t>
  </si>
  <si>
    <t>Medium</t>
  </si>
  <si>
    <t>High</t>
  </si>
  <si>
    <t>Sum of Low</t>
  </si>
  <si>
    <t>Sum of Medium</t>
  </si>
  <si>
    <t>Sum of High</t>
  </si>
  <si>
    <t>3 Gestalt principles that shown in the chart</t>
  </si>
  <si>
    <t>1. Similarity</t>
  </si>
  <si>
    <t>This makes it easy to recognize which data points belong to the same group.</t>
  </si>
  <si>
    <t>2. Proximity</t>
  </si>
  <si>
    <t>Bars that are placed close to each other (like 1–2.5, 4–6, 7–9) are perceived as grouped.</t>
  </si>
  <si>
    <t xml:space="preserve">The bars use consistent colors for each category (e.g., gold for Low, orange for Medium, yellow for High). </t>
  </si>
  <si>
    <t>This helps viewers quickly see the separation between Low, Medium, and High study hours.</t>
  </si>
  <si>
    <t>3. Continuity</t>
  </si>
  <si>
    <t>The line graph (Exam Score) flows smoothly upward as study hours increase.</t>
  </si>
  <si>
    <t>The eye naturally follows the line, making the trend easy to understand.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</si>
</sst>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[Bautista_March18.xlsx]Sheet2!PivotTable18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5875" cap="rnd">
            <a:solidFill>
              <a:schemeClr val="accent3"/>
            </a:solidFill>
            <a:round/>
          </a:ln>
          <a:effectLst/>
        </c:spPr>
        <c:marker>
          <c:symbol val="circle"/>
          <c:size val="3"/>
          <c:spPr>
            <a:solidFill>
              <a:schemeClr val="bg1"/>
            </a:solidFill>
            <a:ln w="63500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Sheet2!$J$5</c:f>
              <c:strCache>
                <c:ptCount val="1"/>
                <c:pt idx="0">
                  <c:v>Sum of 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Sheet2!$I$6:$I$14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2.5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Sheet2!$J$6:$J$14</c:f>
              <c:numCache>
                <c:formatCode>General</c:formatCode>
                <c:ptCount val="9"/>
                <c:pt idx="0">
                  <c:v>60</c:v>
                </c:pt>
                <c:pt idx="1">
                  <c:v>62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903-4DEB-82AA-5C6D734E22CD}"/>
            </c:ext>
          </c:extLst>
        </c:ser>
        <c:ser>
          <c:idx val="1"/>
          <c:order val="1"/>
          <c:tx>
            <c:strRef>
              <c:f>Sheet2!$K$5</c:f>
              <c:strCache>
                <c:ptCount val="1"/>
                <c:pt idx="0">
                  <c:v>Sum of 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Sheet2!$I$6:$I$14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2.5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Sheet2!$K$6:$K$14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72</c:v>
                </c:pt>
                <c:pt idx="4">
                  <c:v>75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903-4DEB-82AA-5C6D734E2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8751104"/>
        <c:axId val="668749664"/>
      </c:barChart>
      <c:barChart>
        <c:barDir val="col"/>
        <c:grouping val="clustered"/>
        <c:varyColors val="0"/>
        <c:ser>
          <c:idx val="2"/>
          <c:order val="2"/>
          <c:tx>
            <c:strRef>
              <c:f>Sheet2!$L$5</c:f>
              <c:strCache>
                <c:ptCount val="1"/>
                <c:pt idx="0">
                  <c:v>Sum of High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Sheet2!$I$6:$I$14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2.5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Sheet2!$L$6:$L$14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85</c:v>
                </c:pt>
                <c:pt idx="7">
                  <c:v>88</c:v>
                </c:pt>
                <c:pt idx="8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903-4DEB-82AA-5C6D734E2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62076232"/>
        <c:axId val="662073352"/>
      </c:barChart>
      <c:lineChart>
        <c:grouping val="standard"/>
        <c:varyColors val="0"/>
        <c:ser>
          <c:idx val="3"/>
          <c:order val="3"/>
          <c:tx>
            <c:strRef>
              <c:f>Sheet2!$M$5</c:f>
              <c:strCache>
                <c:ptCount val="1"/>
                <c:pt idx="0">
                  <c:v>Sum of Exam Score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bg1"/>
              </a:solidFill>
              <a:ln w="63500">
                <a:solidFill>
                  <a:srgbClr val="00B050"/>
                </a:solidFill>
              </a:ln>
              <a:effectLst/>
            </c:spPr>
          </c:marker>
          <c:cat>
            <c:strRef>
              <c:f>Sheet2!$I$6:$I$14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2.5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Sheet2!$M$6:$M$14</c:f>
              <c:numCache>
                <c:formatCode>General</c:formatCode>
                <c:ptCount val="9"/>
                <c:pt idx="0">
                  <c:v>60</c:v>
                </c:pt>
                <c:pt idx="1">
                  <c:v>62</c:v>
                </c:pt>
                <c:pt idx="2">
                  <c:v>65</c:v>
                </c:pt>
                <c:pt idx="3">
                  <c:v>72</c:v>
                </c:pt>
                <c:pt idx="4">
                  <c:v>75</c:v>
                </c:pt>
                <c:pt idx="5">
                  <c:v>78</c:v>
                </c:pt>
                <c:pt idx="6">
                  <c:v>85</c:v>
                </c:pt>
                <c:pt idx="7">
                  <c:v>88</c:v>
                </c:pt>
                <c:pt idx="8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903-4DEB-82AA-5C6D734E2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076232"/>
        <c:axId val="662073352"/>
      </c:lineChart>
      <c:catAx>
        <c:axId val="66875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49664"/>
        <c:crosses val="autoZero"/>
        <c:auto val="1"/>
        <c:lblAlgn val="ctr"/>
        <c:lblOffset val="100"/>
        <c:noMultiLvlLbl val="0"/>
      </c:catAx>
      <c:valAx>
        <c:axId val="6687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751104"/>
        <c:crosses val="autoZero"/>
        <c:crossBetween val="between"/>
      </c:valAx>
      <c:valAx>
        <c:axId val="662073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76232"/>
        <c:crosses val="max"/>
        <c:crossBetween val="between"/>
      </c:valAx>
      <c:catAx>
        <c:axId val="662076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207335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23</xdr:row>
      <xdr:rowOff>76200</xdr:rowOff>
    </xdr:from>
    <xdr:to>
      <xdr:col>12</xdr:col>
      <xdr:colOff>962024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B1DDA2-C79E-95FF-B69D-FE73385FF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ming" refreshedDate="46131.891629166668" createdVersion="8" refreshedVersion="8" minRefreshableVersion="3" recordCount="9" xr:uid="{7716FCA0-8494-4064-85A0-C5254CCB31BA}">
  <cacheSource type="worksheet">
    <worksheetSource ref="A14:G23" sheet="Sheet2"/>
  </cacheSource>
  <cacheFields count="7">
    <cacheField name="Student" numFmtId="0">
      <sharedItems count="9">
        <s v="S1"/>
        <s v="S2"/>
        <s v="S3"/>
        <s v="S4"/>
        <s v="S5"/>
        <s v="S6"/>
        <s v="S7"/>
        <s v="S8"/>
        <s v="S9"/>
      </sharedItems>
    </cacheField>
    <cacheField name="Study Hours" numFmtId="0">
      <sharedItems containsSemiMixedTypes="0" containsString="0" containsNumber="1" minValue="1" maxValue="9" count="9">
        <n v="1"/>
        <n v="2"/>
        <n v="2.5"/>
        <n v="4"/>
        <n v="5"/>
        <n v="6"/>
        <n v="7"/>
        <n v="8"/>
        <n v="9"/>
      </sharedItems>
    </cacheField>
    <cacheField name="Group" numFmtId="0">
      <sharedItems count="3">
        <s v="Low"/>
        <s v="Medium"/>
        <s v="High"/>
      </sharedItems>
    </cacheField>
    <cacheField name="Exam Score" numFmtId="0">
      <sharedItems containsSemiMixedTypes="0" containsString="0" containsNumber="1" containsInteger="1" minValue="60" maxValue="92" count="9">
        <n v="60"/>
        <n v="62"/>
        <n v="65"/>
        <n v="72"/>
        <n v="75"/>
        <n v="78"/>
        <n v="85"/>
        <n v="88"/>
        <n v="92"/>
      </sharedItems>
    </cacheField>
    <cacheField name="Low" numFmtId="0">
      <sharedItems containsString="0" containsBlank="1" containsNumber="1" containsInteger="1" minValue="60" maxValue="65" count="4">
        <n v="60"/>
        <n v="62"/>
        <n v="65"/>
        <m/>
      </sharedItems>
    </cacheField>
    <cacheField name="Medium" numFmtId="0">
      <sharedItems containsBlank="1" containsMixedTypes="1" containsNumber="1" containsInteger="1" minValue="72" maxValue="78" count="5">
        <e v="#N/A"/>
        <n v="72"/>
        <n v="75"/>
        <n v="78"/>
        <m/>
      </sharedItems>
    </cacheField>
    <cacheField name="High" numFmtId="0">
      <sharedItems containsMixedTypes="1" containsNumber="1" containsInteger="1" minValue="85" maxValue="92" count="4">
        <e v="#N/A"/>
        <n v="85"/>
        <n v="88"/>
        <n v="9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x v="0"/>
    <x v="0"/>
    <x v="0"/>
  </r>
  <r>
    <x v="1"/>
    <x v="1"/>
    <x v="0"/>
    <x v="1"/>
    <x v="1"/>
    <x v="0"/>
    <x v="0"/>
  </r>
  <r>
    <x v="2"/>
    <x v="2"/>
    <x v="0"/>
    <x v="2"/>
    <x v="2"/>
    <x v="0"/>
    <x v="0"/>
  </r>
  <r>
    <x v="3"/>
    <x v="3"/>
    <x v="1"/>
    <x v="3"/>
    <x v="3"/>
    <x v="1"/>
    <x v="0"/>
  </r>
  <r>
    <x v="4"/>
    <x v="4"/>
    <x v="1"/>
    <x v="4"/>
    <x v="3"/>
    <x v="2"/>
    <x v="0"/>
  </r>
  <r>
    <x v="5"/>
    <x v="5"/>
    <x v="1"/>
    <x v="5"/>
    <x v="3"/>
    <x v="3"/>
    <x v="0"/>
  </r>
  <r>
    <x v="6"/>
    <x v="6"/>
    <x v="2"/>
    <x v="6"/>
    <x v="3"/>
    <x v="4"/>
    <x v="1"/>
  </r>
  <r>
    <x v="7"/>
    <x v="7"/>
    <x v="2"/>
    <x v="7"/>
    <x v="3"/>
    <x v="4"/>
    <x v="2"/>
  </r>
  <r>
    <x v="8"/>
    <x v="8"/>
    <x v="2"/>
    <x v="8"/>
    <x v="3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00DD3-1AD8-4DB7-B695-4CC9C3117794}" name="PivotTable18" cacheId="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6">
  <location ref="I5:M14" firstHeaderRow="0" firstDataRow="1" firstDataCol="1"/>
  <pivotFields count="7">
    <pivotField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5">
        <item x="1"/>
        <item x="2"/>
        <item x="3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4">
        <item x="1"/>
        <item x="2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ow" fld="4" baseField="0" baseItem="0"/>
    <dataField name="Sum of Medium" fld="5" baseField="0" baseItem="0"/>
    <dataField name="Sum of High" fld="6" baseField="0" baseItem="0"/>
    <dataField name="Sum of Exam Score" fld="3" baseField="0" baseItem="0"/>
  </dataFields>
  <chartFormats count="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1880-E7D2-4ADC-B96A-7A660F8EF207}">
  <dimension ref="A1:M58"/>
  <sheetViews>
    <sheetView tabSelected="1" workbookViewId="0">
      <selection activeCell="B58" sqref="B58"/>
    </sheetView>
  </sheetViews>
  <sheetFormatPr defaultRowHeight="15" x14ac:dyDescent="0.25"/>
  <cols>
    <col min="1" max="1" width="8" bestFit="1" customWidth="1"/>
    <col min="2" max="2" width="11.5703125" customWidth="1"/>
    <col min="3" max="3" width="13.28515625" customWidth="1"/>
    <col min="4" max="4" width="14.42578125" customWidth="1"/>
    <col min="6" max="6" width="10.28515625" bestFit="1" customWidth="1"/>
    <col min="7" max="7" width="13.140625" bestFit="1" customWidth="1"/>
    <col min="8" max="8" width="13.28515625" bestFit="1" customWidth="1"/>
    <col min="9" max="9" width="13.85546875" bestFit="1" customWidth="1"/>
    <col min="10" max="10" width="11.140625" bestFit="1" customWidth="1"/>
    <col min="11" max="11" width="15.28515625" bestFit="1" customWidth="1"/>
    <col min="12" max="12" width="11.5703125" bestFit="1" customWidth="1"/>
    <col min="13" max="14" width="17.85546875" bestFit="1" customWidth="1"/>
    <col min="15" max="18" width="3" bestFit="1" customWidth="1"/>
  </cols>
  <sheetData>
    <row r="1" spans="1:13" x14ac:dyDescent="0.25">
      <c r="A1" t="s">
        <v>16</v>
      </c>
    </row>
    <row r="2" spans="1:13" x14ac:dyDescent="0.25">
      <c r="A2" s="3" t="s">
        <v>0</v>
      </c>
      <c r="B2" s="3" t="s">
        <v>1</v>
      </c>
      <c r="C2" s="3" t="s">
        <v>2</v>
      </c>
      <c r="D2" s="3" t="s">
        <v>3</v>
      </c>
      <c r="E2" s="3"/>
    </row>
    <row r="3" spans="1:13" x14ac:dyDescent="0.25">
      <c r="A3" s="4" t="s">
        <v>4</v>
      </c>
      <c r="B3" s="4">
        <v>1</v>
      </c>
      <c r="C3" s="4">
        <v>60</v>
      </c>
      <c r="D3" s="4" t="s">
        <v>5</v>
      </c>
      <c r="E3" s="4"/>
    </row>
    <row r="4" spans="1:13" x14ac:dyDescent="0.25">
      <c r="A4" s="4" t="s">
        <v>6</v>
      </c>
      <c r="B4" s="4">
        <v>2</v>
      </c>
      <c r="C4" s="4">
        <v>62</v>
      </c>
      <c r="D4" s="4" t="s">
        <v>5</v>
      </c>
      <c r="E4" s="4"/>
    </row>
    <row r="5" spans="1:13" x14ac:dyDescent="0.25">
      <c r="A5" s="4" t="s">
        <v>7</v>
      </c>
      <c r="B5" s="4">
        <v>2.5</v>
      </c>
      <c r="C5" s="4">
        <v>65</v>
      </c>
      <c r="D5" s="4" t="s">
        <v>5</v>
      </c>
      <c r="E5" s="4"/>
      <c r="I5" s="1" t="s">
        <v>1</v>
      </c>
      <c r="J5" t="s">
        <v>21</v>
      </c>
      <c r="K5" t="s">
        <v>22</v>
      </c>
      <c r="L5" t="s">
        <v>23</v>
      </c>
      <c r="M5" t="s">
        <v>17</v>
      </c>
    </row>
    <row r="6" spans="1:13" x14ac:dyDescent="0.25">
      <c r="A6" s="4" t="s">
        <v>8</v>
      </c>
      <c r="B6" s="4">
        <v>4</v>
      </c>
      <c r="C6" s="4">
        <v>72</v>
      </c>
      <c r="D6" s="4" t="s">
        <v>9</v>
      </c>
      <c r="E6" s="4"/>
      <c r="I6">
        <v>1</v>
      </c>
      <c r="J6" s="2">
        <v>60</v>
      </c>
      <c r="K6" s="2" t="e">
        <v>#N/A</v>
      </c>
      <c r="L6" s="2" t="e">
        <v>#N/A</v>
      </c>
      <c r="M6" s="2">
        <v>60</v>
      </c>
    </row>
    <row r="7" spans="1:13" x14ac:dyDescent="0.25">
      <c r="A7" s="4" t="s">
        <v>10</v>
      </c>
      <c r="B7" s="4">
        <v>5</v>
      </c>
      <c r="C7" s="4">
        <v>75</v>
      </c>
      <c r="D7" s="4" t="s">
        <v>9</v>
      </c>
      <c r="E7" s="4"/>
      <c r="I7">
        <v>2</v>
      </c>
      <c r="J7" s="2">
        <v>62</v>
      </c>
      <c r="K7" s="2" t="e">
        <v>#N/A</v>
      </c>
      <c r="L7" s="2" t="e">
        <v>#N/A</v>
      </c>
      <c r="M7" s="2">
        <v>62</v>
      </c>
    </row>
    <row r="8" spans="1:13" x14ac:dyDescent="0.25">
      <c r="A8" s="4" t="s">
        <v>11</v>
      </c>
      <c r="B8" s="4">
        <v>6</v>
      </c>
      <c r="C8" s="4">
        <v>78</v>
      </c>
      <c r="D8" s="4" t="s">
        <v>9</v>
      </c>
      <c r="E8" s="4"/>
      <c r="I8">
        <v>2.5</v>
      </c>
      <c r="J8" s="2">
        <v>65</v>
      </c>
      <c r="K8" s="2" t="e">
        <v>#N/A</v>
      </c>
      <c r="L8" s="2" t="e">
        <v>#N/A</v>
      </c>
      <c r="M8" s="2">
        <v>65</v>
      </c>
    </row>
    <row r="9" spans="1:13" x14ac:dyDescent="0.25">
      <c r="A9" s="4" t="s">
        <v>12</v>
      </c>
      <c r="B9" s="4">
        <v>7</v>
      </c>
      <c r="C9" s="4">
        <v>85</v>
      </c>
      <c r="D9" s="4" t="s">
        <v>13</v>
      </c>
      <c r="E9" s="4"/>
      <c r="I9">
        <v>4</v>
      </c>
      <c r="J9" s="2"/>
      <c r="K9" s="2">
        <v>72</v>
      </c>
      <c r="L9" s="2" t="e">
        <v>#N/A</v>
      </c>
      <c r="M9" s="2">
        <v>72</v>
      </c>
    </row>
    <row r="10" spans="1:13" x14ac:dyDescent="0.25">
      <c r="A10" s="4" t="s">
        <v>14</v>
      </c>
      <c r="B10" s="4">
        <v>8</v>
      </c>
      <c r="C10" s="4">
        <v>88</v>
      </c>
      <c r="D10" s="4" t="s">
        <v>13</v>
      </c>
      <c r="E10" s="4"/>
      <c r="I10">
        <v>5</v>
      </c>
      <c r="J10" s="2"/>
      <c r="K10" s="2">
        <v>75</v>
      </c>
      <c r="L10" s="2" t="e">
        <v>#N/A</v>
      </c>
      <c r="M10" s="2">
        <v>75</v>
      </c>
    </row>
    <row r="11" spans="1:13" x14ac:dyDescent="0.25">
      <c r="A11" s="4" t="s">
        <v>15</v>
      </c>
      <c r="B11" s="4">
        <v>9</v>
      </c>
      <c r="C11" s="4">
        <v>92</v>
      </c>
      <c r="D11" s="4" t="s">
        <v>13</v>
      </c>
      <c r="E11" s="4"/>
      <c r="I11">
        <v>6</v>
      </c>
      <c r="J11" s="2"/>
      <c r="K11" s="2">
        <v>78</v>
      </c>
      <c r="L11" s="2" t="e">
        <v>#N/A</v>
      </c>
      <c r="M11" s="2">
        <v>78</v>
      </c>
    </row>
    <row r="12" spans="1:13" x14ac:dyDescent="0.25">
      <c r="I12">
        <v>7</v>
      </c>
      <c r="J12" s="2"/>
      <c r="K12" s="2"/>
      <c r="L12" s="2">
        <v>85</v>
      </c>
      <c r="M12" s="2">
        <v>85</v>
      </c>
    </row>
    <row r="13" spans="1:13" x14ac:dyDescent="0.25">
      <c r="I13">
        <v>8</v>
      </c>
      <c r="J13" s="2"/>
      <c r="K13" s="2"/>
      <c r="L13" s="2">
        <v>88</v>
      </c>
      <c r="M13" s="2">
        <v>88</v>
      </c>
    </row>
    <row r="14" spans="1:13" x14ac:dyDescent="0.25">
      <c r="A14" s="3" t="s">
        <v>0</v>
      </c>
      <c r="B14" s="3" t="s">
        <v>1</v>
      </c>
      <c r="C14" s="3" t="s">
        <v>3</v>
      </c>
      <c r="D14" s="3" t="s">
        <v>2</v>
      </c>
      <c r="E14" s="3" t="s">
        <v>18</v>
      </c>
      <c r="F14" s="3" t="s">
        <v>19</v>
      </c>
      <c r="G14" s="3" t="s">
        <v>20</v>
      </c>
      <c r="I14">
        <v>9</v>
      </c>
      <c r="J14" s="2"/>
      <c r="K14" s="2"/>
      <c r="L14" s="2">
        <v>92</v>
      </c>
      <c r="M14" s="2">
        <v>92</v>
      </c>
    </row>
    <row r="15" spans="1:13" x14ac:dyDescent="0.25">
      <c r="A15" s="4" t="s">
        <v>4</v>
      </c>
      <c r="B15" s="4">
        <v>1</v>
      </c>
      <c r="C15" s="4" t="s">
        <v>18</v>
      </c>
      <c r="D15" s="4">
        <v>60</v>
      </c>
      <c r="E15" s="4">
        <v>60</v>
      </c>
      <c r="F15" s="4" t="e">
        <f>NA()</f>
        <v>#N/A</v>
      </c>
      <c r="G15" s="4" t="e">
        <f>NA()</f>
        <v>#N/A</v>
      </c>
    </row>
    <row r="16" spans="1:13" x14ac:dyDescent="0.25">
      <c r="A16" s="4" t="s">
        <v>6</v>
      </c>
      <c r="B16" s="4">
        <v>2</v>
      </c>
      <c r="C16" s="4" t="s">
        <v>18</v>
      </c>
      <c r="D16" s="4">
        <v>62</v>
      </c>
      <c r="E16" s="4">
        <v>62</v>
      </c>
      <c r="F16" s="4" t="e">
        <f>NA()</f>
        <v>#N/A</v>
      </c>
      <c r="G16" s="4" t="e">
        <f>NA()</f>
        <v>#N/A</v>
      </c>
    </row>
    <row r="17" spans="1:7" x14ac:dyDescent="0.25">
      <c r="A17" s="4" t="s">
        <v>7</v>
      </c>
      <c r="B17" s="4">
        <v>2.5</v>
      </c>
      <c r="C17" s="4" t="s">
        <v>18</v>
      </c>
      <c r="D17" s="4">
        <v>65</v>
      </c>
      <c r="E17" s="4">
        <v>65</v>
      </c>
      <c r="F17" s="4" t="e">
        <f>NA()</f>
        <v>#N/A</v>
      </c>
      <c r="G17" s="4" t="e">
        <f>NA()</f>
        <v>#N/A</v>
      </c>
    </row>
    <row r="18" spans="1:7" x14ac:dyDescent="0.25">
      <c r="A18" s="4" t="s">
        <v>8</v>
      </c>
      <c r="B18" s="4">
        <v>4</v>
      </c>
      <c r="C18" s="4" t="s">
        <v>19</v>
      </c>
      <c r="D18" s="4">
        <v>72</v>
      </c>
      <c r="E18" s="4"/>
      <c r="F18" s="4">
        <v>72</v>
      </c>
      <c r="G18" s="4" t="e">
        <f>NA()</f>
        <v>#N/A</v>
      </c>
    </row>
    <row r="19" spans="1:7" x14ac:dyDescent="0.25">
      <c r="A19" s="4" t="s">
        <v>10</v>
      </c>
      <c r="B19" s="4">
        <v>5</v>
      </c>
      <c r="C19" s="4" t="s">
        <v>19</v>
      </c>
      <c r="D19" s="4">
        <v>75</v>
      </c>
      <c r="E19" s="4"/>
      <c r="F19" s="4">
        <v>75</v>
      </c>
      <c r="G19" s="4" t="e">
        <f>NA()</f>
        <v>#N/A</v>
      </c>
    </row>
    <row r="20" spans="1:7" x14ac:dyDescent="0.25">
      <c r="A20" s="4" t="s">
        <v>11</v>
      </c>
      <c r="B20" s="4">
        <v>6</v>
      </c>
      <c r="C20" s="4" t="s">
        <v>19</v>
      </c>
      <c r="D20" s="4">
        <v>78</v>
      </c>
      <c r="E20" s="4"/>
      <c r="F20" s="4">
        <v>78</v>
      </c>
      <c r="G20" s="4" t="e">
        <f>NA()</f>
        <v>#N/A</v>
      </c>
    </row>
    <row r="21" spans="1:7" x14ac:dyDescent="0.25">
      <c r="A21" s="4" t="s">
        <v>12</v>
      </c>
      <c r="B21" s="4">
        <v>7</v>
      </c>
      <c r="C21" s="4" t="s">
        <v>20</v>
      </c>
      <c r="D21" s="4">
        <v>85</v>
      </c>
      <c r="E21" s="4"/>
      <c r="F21" s="4"/>
      <c r="G21" s="4">
        <v>85</v>
      </c>
    </row>
    <row r="22" spans="1:7" x14ac:dyDescent="0.25">
      <c r="A22" s="4" t="s">
        <v>14</v>
      </c>
      <c r="B22" s="4">
        <v>8</v>
      </c>
      <c r="C22" s="4" t="s">
        <v>20</v>
      </c>
      <c r="D22" s="4">
        <v>88</v>
      </c>
      <c r="E22" s="4"/>
      <c r="F22" s="4"/>
      <c r="G22" s="4">
        <v>88</v>
      </c>
    </row>
    <row r="23" spans="1:7" x14ac:dyDescent="0.25">
      <c r="A23" s="4" t="s">
        <v>15</v>
      </c>
      <c r="B23" s="4">
        <v>9</v>
      </c>
      <c r="C23" s="4" t="s">
        <v>20</v>
      </c>
      <c r="D23" s="4">
        <v>92</v>
      </c>
      <c r="E23" s="4"/>
      <c r="F23" s="4"/>
      <c r="G23" s="4">
        <v>92</v>
      </c>
    </row>
    <row r="47" spans="2:2" x14ac:dyDescent="0.25">
      <c r="B47" t="s">
        <v>24</v>
      </c>
    </row>
    <row r="48" spans="2:2" x14ac:dyDescent="0.25">
      <c r="B48" t="s">
        <v>25</v>
      </c>
    </row>
    <row r="49" spans="2:2" x14ac:dyDescent="0.25">
      <c r="B49" t="s">
        <v>29</v>
      </c>
    </row>
    <row r="50" spans="2:2" x14ac:dyDescent="0.25">
      <c r="B50" t="s">
        <v>26</v>
      </c>
    </row>
    <row r="52" spans="2:2" x14ac:dyDescent="0.25">
      <c r="B52" t="s">
        <v>27</v>
      </c>
    </row>
    <row r="53" spans="2:2" x14ac:dyDescent="0.25">
      <c r="B53" t="s">
        <v>28</v>
      </c>
    </row>
    <row r="54" spans="2:2" x14ac:dyDescent="0.25">
      <c r="B54" t="s">
        <v>30</v>
      </c>
    </row>
    <row r="56" spans="2:2" x14ac:dyDescent="0.25">
      <c r="B56" t="s">
        <v>31</v>
      </c>
    </row>
    <row r="57" spans="2:2" x14ac:dyDescent="0.25">
      <c r="B57" t="s">
        <v>32</v>
      </c>
    </row>
    <row r="58" spans="2:2" x14ac:dyDescent="0.25">
      <c r="B58" t="s">
        <v>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</dc:creator>
  <cp:lastModifiedBy>Gaming</cp:lastModifiedBy>
  <dcterms:created xsi:type="dcterms:W3CDTF">2026-04-19T12:33:32Z</dcterms:created>
  <dcterms:modified xsi:type="dcterms:W3CDTF">2026-04-19T14:12:05Z</dcterms:modified>
</cp:coreProperties>
</file>